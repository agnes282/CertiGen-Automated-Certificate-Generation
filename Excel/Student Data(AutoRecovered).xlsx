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gnes\S3\EOA\"/>
    </mc:Choice>
  </mc:AlternateContent>
  <xr:revisionPtr revIDLastSave="0" documentId="13_ncr:1_{C7BD96BF-0142-4835-9DF7-AD72CF7D4B96}" xr6:coauthVersionLast="47" xr6:coauthVersionMax="47" xr10:uidLastSave="{00000000-0000-0000-0000-000000000000}"/>
  <bookViews>
    <workbookView xWindow="-108" yWindow="-108" windowWidth="23256" windowHeight="12456" activeTab="1" xr2:uid="{EEE247E7-F91D-47FE-AC9F-E95A20C288D6}"/>
  </bookViews>
  <sheets>
    <sheet name="Student Data" sheetId="1" r:id="rId1"/>
    <sheet name="Analysis " sheetId="2" r:id="rId2"/>
    <sheet name="Pivot" sheetId="3" r:id="rId3"/>
  </sheets>
  <externalReferences>
    <externalReference r:id="rId4"/>
  </externalReferences>
  <definedNames>
    <definedName name="_xlnm.Print_Area" localSheetId="1">'Analysis '!$A$1:$S$36</definedName>
    <definedName name="_xlnm.Print_Area" localSheetId="2">Pivot!$A$1:$H$31</definedName>
    <definedName name="_xlnm.Print_Area" localSheetId="0">'Student Data'!$A$1:$H$16</definedName>
  </definedNames>
  <calcPr calcId="191029"/>
  <pivotCaches>
    <pivotCache cacheId="1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F13" i="2"/>
  <c r="F12" i="2"/>
  <c r="F11" i="2"/>
  <c r="B9" i="2"/>
  <c r="B8" i="2"/>
  <c r="B10" i="2"/>
  <c r="B7" i="2"/>
  <c r="B5" i="2"/>
  <c r="H2" i="1"/>
  <c r="G3" i="1"/>
  <c r="H4" i="1"/>
  <c r="H3" i="1"/>
  <c r="H5" i="1"/>
  <c r="H6" i="1"/>
  <c r="H7" i="1"/>
  <c r="H8" i="1"/>
  <c r="H9" i="1"/>
  <c r="H10" i="1"/>
  <c r="H11" i="1"/>
  <c r="H12" i="1"/>
  <c r="H13" i="1"/>
  <c r="H14" i="1"/>
  <c r="H15" i="1"/>
  <c r="H16" i="1"/>
  <c r="G6" i="1"/>
  <c r="B6" i="2"/>
  <c r="H5" i="2"/>
  <c r="H6" i="2"/>
  <c r="H7" i="2"/>
  <c r="H4" i="2"/>
  <c r="G5" i="2"/>
  <c r="G6" i="2"/>
  <c r="G7" i="2"/>
  <c r="G4" i="2"/>
  <c r="F5" i="2"/>
  <c r="F6" i="2"/>
  <c r="F7" i="2"/>
  <c r="F4" i="2"/>
  <c r="B4" i="2"/>
  <c r="G16" i="1"/>
  <c r="G5" i="1"/>
  <c r="G7" i="1"/>
  <c r="G8" i="1"/>
  <c r="G9" i="1"/>
  <c r="G10" i="1"/>
  <c r="G11" i="1"/>
  <c r="G12" i="1"/>
  <c r="G13" i="1"/>
  <c r="G14" i="1"/>
  <c r="G15" i="1"/>
  <c r="B18" i="2" l="1"/>
  <c r="B14" i="2"/>
  <c r="B19" i="2"/>
  <c r="B17" i="2"/>
  <c r="B16" i="2"/>
  <c r="B15" i="2"/>
  <c r="B20" i="2" l="1"/>
  <c r="C14" i="2" s="1"/>
  <c r="C18" i="2" l="1"/>
  <c r="C15" i="2"/>
  <c r="C17" i="2"/>
  <c r="C19" i="2"/>
  <c r="C16" i="2"/>
  <c r="C20" i="2" l="1"/>
</calcChain>
</file>

<file path=xl/sharedStrings.xml><?xml version="1.0" encoding="utf-8"?>
<sst xmlns="http://schemas.openxmlformats.org/spreadsheetml/2006/main" count="124" uniqueCount="60">
  <si>
    <t>Student Name</t>
  </si>
  <si>
    <t>Title</t>
  </si>
  <si>
    <t>Department</t>
  </si>
  <si>
    <t>Workshop</t>
  </si>
  <si>
    <t>Marks</t>
  </si>
  <si>
    <t>Attendance %</t>
  </si>
  <si>
    <t>Anjana Das</t>
  </si>
  <si>
    <t>Ms</t>
  </si>
  <si>
    <t>CSE</t>
  </si>
  <si>
    <t>Word Processing Workshop</t>
  </si>
  <si>
    <t>Rahul Menon</t>
  </si>
  <si>
    <t>Mr</t>
  </si>
  <si>
    <t>ECE</t>
  </si>
  <si>
    <t>Excel Analytics Workshop</t>
  </si>
  <si>
    <t>Fathima Nasrin</t>
  </si>
  <si>
    <t>EEE</t>
  </si>
  <si>
    <t>Joseph Thomas</t>
  </si>
  <si>
    <t>Meera Nair</t>
  </si>
  <si>
    <t>Arjun Krishnan</t>
  </si>
  <si>
    <t>Sneha Varghese</t>
  </si>
  <si>
    <t>Akhil Raj</t>
  </si>
  <si>
    <t>AI</t>
  </si>
  <si>
    <t>Diya Elizabeth</t>
  </si>
  <si>
    <t>Nikhil George</t>
  </si>
  <si>
    <t>Keerthana Suresh</t>
  </si>
  <si>
    <t>Vivek Pillai</t>
  </si>
  <si>
    <t>Amritha Mohan</t>
  </si>
  <si>
    <t>Sanjay Kurian</t>
  </si>
  <si>
    <t>Neha Sebastian</t>
  </si>
  <si>
    <t>Assessment Marks</t>
  </si>
  <si>
    <t>Grade</t>
  </si>
  <si>
    <t>Result</t>
  </si>
  <si>
    <t xml:space="preserve">  </t>
  </si>
  <si>
    <t>Analysis of Student Results</t>
  </si>
  <si>
    <t>Class Summary</t>
  </si>
  <si>
    <t>Total students</t>
  </si>
  <si>
    <t>Total marks</t>
  </si>
  <si>
    <t>Average marks</t>
  </si>
  <si>
    <t>Highest marks</t>
  </si>
  <si>
    <t>Lowest marks</t>
  </si>
  <si>
    <t>Students passed</t>
  </si>
  <si>
    <t>Marks 80+ and attendance 90+</t>
  </si>
  <si>
    <t>Value</t>
  </si>
  <si>
    <t>Students</t>
  </si>
  <si>
    <t>Share</t>
  </si>
  <si>
    <t>A</t>
  </si>
  <si>
    <t>B</t>
  </si>
  <si>
    <t>C</t>
  </si>
  <si>
    <t>D</t>
  </si>
  <si>
    <t>F</t>
  </si>
  <si>
    <t>A+</t>
  </si>
  <si>
    <t>Total</t>
  </si>
  <si>
    <t>Average Marks</t>
  </si>
  <si>
    <t>Total Marks</t>
  </si>
  <si>
    <t>Find a Student</t>
  </si>
  <si>
    <t>Grand Total</t>
  </si>
  <si>
    <t>Number of Students</t>
  </si>
  <si>
    <t>Email</t>
  </si>
  <si>
    <t>agnesbenoy14@gmail.com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</si>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</sst>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0" borderId="5" xfId="0" applyBorder="1"/>
    <xf numFmtId="0" fontId="0" fillId="0" borderId="6" xfId="0" applyBorder="1" applyAlignment="1">
      <alignment vertical="center" wrapText="1"/>
    </xf>
    <xf numFmtId="0" fontId="0" fillId="0" borderId="7" xfId="0" applyBorder="1"/>
    <xf numFmtId="0" fontId="0" fillId="0" borderId="1" xfId="0" applyBorder="1"/>
    <xf numFmtId="0" fontId="0" fillId="0" borderId="6" xfId="0" applyBorder="1"/>
    <xf numFmtId="0" fontId="1" fillId="0" borderId="2" xfId="0" applyFont="1" applyBorder="1"/>
    <xf numFmtId="0" fontId="1" fillId="0" borderId="8" xfId="0" applyFont="1" applyBorder="1"/>
    <xf numFmtId="0" fontId="1" fillId="0" borderId="3" xfId="0" applyFont="1" applyBorder="1"/>
    <xf numFmtId="0" fontId="0" fillId="0" borderId="4" xfId="0" applyBorder="1"/>
    <xf numFmtId="0" fontId="0" fillId="0" borderId="9" xfId="0" applyBorder="1"/>
    <xf numFmtId="0" fontId="0" fillId="0" borderId="1" xfId="0" applyBorder="1" applyAlignment="1">
      <alignment horizontal="left"/>
    </xf>
    <xf numFmtId="0" fontId="1" fillId="0" borderId="6" xfId="0" applyFont="1" applyBorder="1"/>
    <xf numFmtId="0" fontId="0" fillId="0" borderId="1" xfId="0" pivotButton="1" applyBorder="1"/>
    <xf numFmtId="164" fontId="0" fillId="0" borderId="1" xfId="0" applyNumberFormat="1" applyBorder="1"/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6" fillId="0" borderId="8" xfId="1" applyBorder="1" applyAlignment="1">
      <alignment horizontal="center"/>
    </xf>
    <xf numFmtId="0" fontId="1" fillId="0" borderId="1" xfId="0" applyFont="1" applyBorder="1"/>
  </cellXfs>
  <cellStyles count="2">
    <cellStyle name="Hyperlink" xfId="1" builtinId="8"/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Grade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BE-4B51-8539-F6C3D1708C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BE-4B51-8539-F6C3D1708C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BE-4B51-8539-F6C3D1708C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BE-4B51-8539-F6C3D1708C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BE-4B51-8539-F6C3D1708C8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9BE-4B51-8539-F6C3D1708C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'!$A$14:$A$19</c:f>
              <c:strCache>
                <c:ptCount val="6"/>
                <c:pt idx="0">
                  <c:v>A+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F</c:v>
                </c:pt>
              </c:strCache>
            </c:strRef>
          </c:cat>
          <c:val>
            <c:numRef>
              <c:f>'Analysis '!$B$14:$B$19</c:f>
              <c:numCache>
                <c:formatCode>General</c:formatCode>
                <c:ptCount val="6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1-42C3-A4EC-0B1F9E99A93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Marks by Department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'!$G$3</c:f>
              <c:strCache>
                <c:ptCount val="1"/>
                <c:pt idx="0">
                  <c:v>Average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D4F-4080-81AE-4B2A98215010}"/>
                </c:ext>
              </c:extLst>
            </c:dLbl>
            <c:dLbl>
              <c:idx val="3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ED4F-4080-81AE-4B2A982150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'!$E$4:$E$7</c:f>
              <c:strCache>
                <c:ptCount val="4"/>
                <c:pt idx="0">
                  <c:v>CSE</c:v>
                </c:pt>
                <c:pt idx="1">
                  <c:v>ECE</c:v>
                </c:pt>
                <c:pt idx="2">
                  <c:v>EEE</c:v>
                </c:pt>
                <c:pt idx="3">
                  <c:v>AI</c:v>
                </c:pt>
              </c:strCache>
            </c:strRef>
          </c:cat>
          <c:val>
            <c:numRef>
              <c:f>'Analysis '!$G$4:$G$7</c:f>
              <c:numCache>
                <c:formatCode>General</c:formatCode>
                <c:ptCount val="4"/>
                <c:pt idx="0">
                  <c:v>83.2</c:v>
                </c:pt>
                <c:pt idx="1">
                  <c:v>83.333333333333329</c:v>
                </c:pt>
                <c:pt idx="2">
                  <c:v>71.75</c:v>
                </c:pt>
                <c:pt idx="3">
                  <c:v>60.666666666666664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F-4080-81AE-4B2A982150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8282208"/>
        <c:axId val="1488283168"/>
      </c:barChart>
      <c:catAx>
        <c:axId val="1488282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283168"/>
        <c:crosses val="autoZero"/>
        <c:auto val="1"/>
        <c:lblAlgn val="ctr"/>
        <c:lblOffset val="100"/>
        <c:noMultiLvlLbl val="0"/>
      </c:catAx>
      <c:valAx>
        <c:axId val="148828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28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Data(AutoRecovered).xlsx]Pivot!PivotTable5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Students</a:t>
            </a:r>
            <a:r>
              <a:rPr lang="en-US" baseline="0"/>
              <a:t> per Grade</a:t>
            </a:r>
            <a:endParaRPr lang="en-US"/>
          </a:p>
        </c:rich>
      </c:tx>
      <c:layout>
        <c:manualLayout>
          <c:xMode val="edge"/>
          <c:yMode val="edge"/>
          <c:x val="0.4492707786526684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F</c:v>
                </c:pt>
              </c:strCache>
            </c:strRef>
          </c:cat>
          <c:val>
            <c:numRef>
              <c:f>Pivot!$B$4:$B$10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9-48EA-A733-42D14EDE7B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27432528"/>
        <c:axId val="1627433488"/>
      </c:barChart>
      <c:catAx>
        <c:axId val="162743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433488"/>
        <c:crosses val="autoZero"/>
        <c:auto val="1"/>
        <c:lblAlgn val="ctr"/>
        <c:lblOffset val="100"/>
        <c:noMultiLvlLbl val="0"/>
      </c:catAx>
      <c:valAx>
        <c:axId val="162743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43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601980</xdr:colOff>
      <xdr:row>1</xdr:row>
      <xdr:rowOff>133350</xdr:rowOff>
    </xdr:from>
    <xdr:to>
      <xdr:col>16</xdr:col>
      <xdr:colOff>297180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757E11-FDAC-5AF8-1FB3-BAFF2FFBA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72390</xdr:rowOff>
    </xdr:from>
    <xdr:to>
      <xdr:col>16</xdr:col>
      <xdr:colOff>304800</xdr:colOff>
      <xdr:row>32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3A4648-BEA8-B777-EE19-C7381A6CD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396240</xdr:colOff>
      <xdr:row>11</xdr:row>
      <xdr:rowOff>49530</xdr:rowOff>
    </xdr:from>
    <xdr:to>
      <xdr:col>6</xdr:col>
      <xdr:colOff>0</xdr:colOff>
      <xdr:row>26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B8C5A1-CF52-75A1-9FC1-2425A1C82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udent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udent Data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Q" refreshedDate="46315.401413078704" createdVersion="8" refreshedVersion="8" minRefreshableVersion="3" recordCount="15" xr:uid="{1D732040-AB68-4AC9-9ECF-DD836BCE8862}">
  <cacheSource type="worksheet">
    <worksheetSource name="Table1"/>
  </cacheSource>
  <cacheFields count="8">
    <cacheField name="Student Name" numFmtId="0">
      <sharedItems/>
    </cacheField>
    <cacheField name="Title" numFmtId="0">
      <sharedItems/>
    </cacheField>
    <cacheField name="Department" numFmtId="0">
      <sharedItems count="4">
        <s v="CSE"/>
        <s v="ECE"/>
        <s v="EEE"/>
        <s v="AI"/>
      </sharedItems>
    </cacheField>
    <cacheField name="Workshop" numFmtId="0">
      <sharedItems/>
    </cacheField>
    <cacheField name="Assessment Marks" numFmtId="0">
      <sharedItems containsSemiMixedTypes="0" containsString="0" containsNumber="1" containsInteger="1" minValue="38" maxValue="96"/>
    </cacheField>
    <cacheField name="Attendance %" numFmtId="0">
      <sharedItems containsSemiMixedTypes="0" containsString="0" containsNumber="1" containsInteger="1" minValue="72" maxValue="98"/>
    </cacheField>
    <cacheField name="Grade" numFmtId="0">
      <sharedItems count="6">
        <s v="A+"/>
        <s v="B"/>
        <s v="A"/>
        <s v="C"/>
        <s v="D"/>
        <s v="F"/>
      </sharedItems>
    </cacheField>
    <cacheField name="Resul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Anjana Das"/>
    <s v="Ms"/>
    <x v="0"/>
    <s v="Word Processing Workshop"/>
    <n v="92"/>
    <n v="96"/>
    <x v="0"/>
    <s v="Pass"/>
  </r>
  <r>
    <s v="Rahul Menon"/>
    <s v="Mr"/>
    <x v="1"/>
    <s v="Excel Analytics Workshop"/>
    <n v="78"/>
    <n v="88"/>
    <x v="1"/>
    <s v="Pass"/>
  </r>
  <r>
    <s v="Fathima Nasrin"/>
    <s v="Ms"/>
    <x v="2"/>
    <s v="Word Processing Workshop"/>
    <n v="85"/>
    <n v="94"/>
    <x v="2"/>
    <s v="Pass"/>
  </r>
  <r>
    <s v="Joseph Thomas"/>
    <s v="Mr"/>
    <x v="0"/>
    <s v="Excel Analytics Workshop"/>
    <n v="64"/>
    <n v="82"/>
    <x v="3"/>
    <s v="Pass"/>
  </r>
  <r>
    <s v="Meera Nair"/>
    <s v="Ms"/>
    <x v="1"/>
    <s v="Excel Analytics Workshop"/>
    <n v="96"/>
    <n v="98"/>
    <x v="0"/>
    <s v="Pass"/>
  </r>
  <r>
    <s v="Arjun Krishnan"/>
    <s v="Mr"/>
    <x v="2"/>
    <s v="Word Processing Workshop"/>
    <n v="71"/>
    <n v="85"/>
    <x v="1"/>
    <s v="Pass"/>
  </r>
  <r>
    <s v="Sneha Varghese"/>
    <s v="Ms"/>
    <x v="0"/>
    <s v="Excel Analytics Workshop"/>
    <n v="88"/>
    <n v="92"/>
    <x v="2"/>
    <s v="Pass"/>
  </r>
  <r>
    <s v="Akhil Raj"/>
    <s v="Mr"/>
    <x v="3"/>
    <s v="Word Processing Workshop"/>
    <n v="55"/>
    <n v="78"/>
    <x v="4"/>
    <s v="Pass"/>
  </r>
  <r>
    <s v="Diya Elizabeth"/>
    <s v="Ms"/>
    <x v="2"/>
    <s v="Excel Analytics Workshop"/>
    <n v="93"/>
    <n v="97"/>
    <x v="0"/>
    <s v="Pass"/>
  </r>
  <r>
    <s v="Nikhil George"/>
    <s v="Mr"/>
    <x v="0"/>
    <s v="Word Processing Workshop"/>
    <n v="82"/>
    <n v="90"/>
    <x v="2"/>
    <s v="Pass"/>
  </r>
  <r>
    <s v="Keerthana Suresh"/>
    <s v="Ms"/>
    <x v="1"/>
    <s v="Word Processing Workshop"/>
    <n v="76"/>
    <n v="89"/>
    <x v="1"/>
    <s v="Pass"/>
  </r>
  <r>
    <s v="Vivek Pillai"/>
    <s v="Mr"/>
    <x v="2"/>
    <s v="Excel Analytics Workshop"/>
    <n v="38"/>
    <n v="72"/>
    <x v="5"/>
    <s v="Fail"/>
  </r>
  <r>
    <s v="Amritha Mohan"/>
    <s v="Ms"/>
    <x v="0"/>
    <s v="Excel Analytics Workshop"/>
    <n v="90"/>
    <n v="95"/>
    <x v="0"/>
    <s v="Pass"/>
  </r>
  <r>
    <s v="Sanjay Kurian"/>
    <s v="Mr"/>
    <x v="3"/>
    <s v="Word Processing Workshop"/>
    <n v="68"/>
    <n v="84"/>
    <x v="3"/>
    <s v="Pass"/>
  </r>
  <r>
    <s v="Neha Sebastian"/>
    <s v="Ms"/>
    <x v="3"/>
    <s v="Word Processing Workshop"/>
    <n v="59"/>
    <n v="80"/>
    <x v="4"/>
    <s v="Pa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7F7952-3B9E-445D-AB16-A65E861034DD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E3:F8" firstHeaderRow="1" firstDataRow="1" firstDataCol="1"/>
  <pivotFields count="8"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Marks" fld="4" subtotal="average" baseField="2" baseItem="0" numFmtId="164"/>
  </dataFields>
  <formats count="6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2" type="button" dataOnly="0" labelOnly="1" outline="0" axis="axisRow" fieldPosition="0"/>
    </format>
    <format dxfId="44">
      <pivotArea dataOnly="0" labelOnly="1" fieldPosition="0">
        <references count="1">
          <reference field="2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124A3-8554-4133-B74B-97E671AD1DF1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Grade">
  <location ref="A3:B10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1"/>
        <item x="3"/>
        <item x="4"/>
        <item x="5"/>
        <item t="default"/>
      </items>
    </pivotField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umber of Students" fld="0" subtotal="count" baseField="0" baseItem="0"/>
  </dataFields>
  <formats count="6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6" type="button" dataOnly="0" labelOnly="1" outline="0" axis="axisRow" fieldPosition="0"/>
    </format>
    <format dxfId="50">
      <pivotArea dataOnly="0" labelOnly="1" fieldPosition="0">
        <references count="1">
          <reference field="6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8AB0EF-CA5E-4F1B-A429-63A91D7F13D2}" name="Table1" displayName="Table1" ref="A1:I16" totalsRowShown="0" headerRowDxfId="20" dataDxfId="19" headerRowBorderDxfId="17" tableBorderDxfId="18" totalsRowBorderDxfId="16">
  <autoFilter ref="A1:I16" xr:uid="{FE8AB0EF-CA5E-4F1B-A429-63A91D7F13D2}"/>
  <tableColumns count="9">
    <tableColumn id="1" xr3:uid="{11B67A29-E141-4B1F-991F-FFEB19F6CEED}" name="Student Name" dataDxfId="15"/>
    <tableColumn id="2" xr3:uid="{B69AF505-5947-4B0D-9625-39FE21ACA5E5}" name="Title" dataDxfId="14"/>
    <tableColumn id="3" xr3:uid="{FAED7AF1-5CFA-4737-A461-13092FF59270}" name="Department" dataDxfId="13"/>
    <tableColumn id="4" xr3:uid="{8B409434-DE6F-40D8-8C34-F38E4A22BEF3}" name="Workshop" dataDxfId="12"/>
    <tableColumn id="5" xr3:uid="{BECFF8A0-4D18-403D-B5D8-BD14B9A0B45F}" name="Assessment Marks" dataDxfId="11"/>
    <tableColumn id="6" xr3:uid="{68109998-3394-43E9-A6D7-89813A663356}" name="Attendance %" dataDxfId="10"/>
    <tableColumn id="7" xr3:uid="{D18974DA-BD86-4FD4-A17D-6015CCC2032F}" name="Grade" dataDxfId="9">
      <calculatedColumnFormula>IF(E2&gt;=90,"A+",IF(E2&gt;=80,"A",IF(E2&gt;=70,"B",IF(E2&gt;=60,"C",IF(E2&gt;=40,"D","F")))))</calculatedColumnFormula>
    </tableColumn>
    <tableColumn id="8" xr3:uid="{4399735D-26FD-4E79-A884-4321967A75B5}" name="Result" dataDxfId="7">
      <calculatedColumnFormula>IF(AND(E2&gt;=40,F2&gt;=75),"Pass","Fail")</calculatedColumnFormula>
    </tableColumn>
    <tableColumn id="10" xr3:uid="{3D78A8DB-223E-4B40-AA2B-986815CDE6D3}" name="Email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D1B290-30C9-448D-8C69-E5AFCC2C8B75}" name="Table2" displayName="Table2" ref="A3:B10" totalsRowShown="0" headerRowDxfId="41" headerRowBorderDxfId="40" tableBorderDxfId="39" totalsRowBorderDxfId="38">
  <autoFilter ref="A3:B10" xr:uid="{65D1B290-30C9-448D-8C69-E5AFCC2C8B75}"/>
  <tableColumns count="2">
    <tableColumn id="1" xr3:uid="{A5C4A332-A749-46B4-BAA9-3141D8295461}" name="Class Summary" dataDxfId="37"/>
    <tableColumn id="2" xr3:uid="{24F8F032-ED2A-4660-9B6C-8743C9755A66}" name="Value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9C29D8-ABAD-425B-9EDE-5C8F4BE228B1}" name="Table3" displayName="Table3" ref="E3:H7" totalsRowShown="0" headerRowDxfId="35" headerRowBorderDxfId="34" tableBorderDxfId="33" totalsRowBorderDxfId="32">
  <autoFilter ref="E3:H7" xr:uid="{3B9C29D8-ABAD-425B-9EDE-5C8F4BE228B1}"/>
  <tableColumns count="4">
    <tableColumn id="1" xr3:uid="{C4BA1055-C897-4263-B842-F2C3923ABA4C}" name="Department" dataDxfId="31"/>
    <tableColumn id="2" xr3:uid="{AFE228A7-DA72-4175-BA47-43256086CF59}" name="Students" dataDxfId="30">
      <calculatedColumnFormula>COUNTIF('Student Data'!$C$2:$C$16,E4)</calculatedColumnFormula>
    </tableColumn>
    <tableColumn id="3" xr3:uid="{23BAC17E-4B0A-46CB-8AAB-B9753D6ECA5C}" name="Average Marks" dataDxfId="29">
      <calculatedColumnFormula>AVERAGEIF('Student Data'!$C$2:$C$16,E4,'Student Data'!$E$2:$E$16)</calculatedColumnFormula>
    </tableColumn>
    <tableColumn id="4" xr3:uid="{0C8E9C2F-2D52-4232-9743-90AAD5AF7364}" name="Total Marks" dataDxfId="28">
      <calculatedColumnFormula>SUMIF('Student Data'!$C$2:$C$16,E4,'Student Data'!$E$2:$E$16)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1D3C4F-0E69-4B4F-B73A-8AE84B25DD62}" name="Table5" displayName="Table5" ref="A13:C20" totalsRowShown="0" headerRowDxfId="27" headerRowBorderDxfId="26" tableBorderDxfId="25" totalsRowBorderDxfId="24">
  <autoFilter ref="A13:C20" xr:uid="{D61D3C4F-0E69-4B4F-B73A-8AE84B25DD62}"/>
  <tableColumns count="3">
    <tableColumn id="1" xr3:uid="{71D59F53-BD3C-49F4-B230-CC7E9820260D}" name="Grade" dataDxfId="23"/>
    <tableColumn id="2" xr3:uid="{911277F9-9A9F-47E0-8EE6-B2C6A37B7738}" name="Students" dataDxfId="22"/>
    <tableColumn id="3" xr3:uid="{9FF0F3CC-43CA-4BC8-8427-BDDAF03BF61C}" name="Share" dataDxfId="2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gnesbenoy14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F5DD-10B9-4F4C-BA0E-947A17BF4E03}">
  <sheetPr>
    <pageSetUpPr fitToPage="1"/>
  </sheetPr>
  <dimension ref="A1:K16"/>
  <sheetViews>
    <sheetView view="pageLayout" topLeftCell="B6" zoomScaleNormal="80" workbookViewId="0">
      <selection activeCell="H2" sqref="H2"/>
    </sheetView>
  </sheetViews>
  <sheetFormatPr defaultRowHeight="14.4"/>
  <cols>
    <col min="1" max="1" width="15.77734375" bestFit="1" customWidth="1"/>
    <col min="2" max="2" width="9.109375" customWidth="1"/>
    <col min="3" max="3" width="17.6640625" customWidth="1"/>
    <col min="4" max="4" width="15" bestFit="1" customWidth="1"/>
    <col min="5" max="5" width="24.6640625" customWidth="1"/>
    <col min="6" max="6" width="18.5546875" customWidth="1"/>
    <col min="7" max="7" width="11" style="3" customWidth="1"/>
    <col min="8" max="8" width="13.77734375" style="2" customWidth="1"/>
    <col min="9" max="9" width="24.44140625" customWidth="1"/>
  </cols>
  <sheetData>
    <row r="1" spans="1:11" ht="25.2" customHeight="1">
      <c r="A1" s="27" t="s">
        <v>0</v>
      </c>
      <c r="B1" s="28" t="s">
        <v>1</v>
      </c>
      <c r="C1" s="28" t="s">
        <v>2</v>
      </c>
      <c r="D1" s="28" t="s">
        <v>3</v>
      </c>
      <c r="E1" s="28" t="s">
        <v>29</v>
      </c>
      <c r="F1" s="28" t="s">
        <v>5</v>
      </c>
      <c r="G1" s="28" t="s">
        <v>30</v>
      </c>
      <c r="H1" s="29" t="s">
        <v>31</v>
      </c>
      <c r="I1" s="28" t="s">
        <v>57</v>
      </c>
    </row>
    <row r="2" spans="1:11" ht="28.8">
      <c r="A2" s="30" t="s">
        <v>6</v>
      </c>
      <c r="B2" s="4" t="s">
        <v>7</v>
      </c>
      <c r="C2" s="4" t="s">
        <v>8</v>
      </c>
      <c r="D2" s="4" t="s">
        <v>9</v>
      </c>
      <c r="E2" s="4">
        <v>92</v>
      </c>
      <c r="F2" s="4">
        <v>96</v>
      </c>
      <c r="G2" s="5" t="s">
        <v>50</v>
      </c>
      <c r="H2" s="31" t="str">
        <f>IF(AND(E2&gt;=40,F2&gt;=75),"Pass","Fail")</f>
        <v>Pass</v>
      </c>
      <c r="I2" s="37" t="s">
        <v>58</v>
      </c>
      <c r="J2" s="36"/>
    </row>
    <row r="3" spans="1:11" ht="28.8">
      <c r="A3" s="30" t="s">
        <v>10</v>
      </c>
      <c r="B3" s="4" t="s">
        <v>11</v>
      </c>
      <c r="C3" s="4" t="s">
        <v>12</v>
      </c>
      <c r="D3" s="4" t="s">
        <v>13</v>
      </c>
      <c r="E3" s="4">
        <v>78</v>
      </c>
      <c r="F3" s="4">
        <v>88</v>
      </c>
      <c r="G3" s="5" t="str">
        <f>IF(E3&gt;=90,"A+",IF(E3&gt;=80,"A",IF(E3&gt;=70,"B",IF(E3&gt;=60,"C",IF(E3&gt;=40,"D","F")))))</f>
        <v>B</v>
      </c>
      <c r="H3" s="32" t="str">
        <f t="shared" ref="H3:H16" si="0">IF(AND(E3&gt;=40,F3&gt;=75),"Pass","Fail")</f>
        <v>Pass</v>
      </c>
      <c r="I3" s="4"/>
    </row>
    <row r="4" spans="1:11" ht="28.8">
      <c r="A4" s="30" t="s">
        <v>14</v>
      </c>
      <c r="B4" s="4" t="s">
        <v>7</v>
      </c>
      <c r="C4" s="4" t="s">
        <v>15</v>
      </c>
      <c r="D4" s="4" t="s">
        <v>9</v>
      </c>
      <c r="E4" s="4">
        <v>85</v>
      </c>
      <c r="F4" s="4">
        <v>94</v>
      </c>
      <c r="G4" s="5" t="s">
        <v>45</v>
      </c>
      <c r="H4" s="32" t="str">
        <f>IF(AND(E4&gt;=40,F4&gt;=75),"Pass","Fail")</f>
        <v>Pass</v>
      </c>
      <c r="I4" s="4"/>
    </row>
    <row r="5" spans="1:11" ht="28.8">
      <c r="A5" s="30" t="s">
        <v>16</v>
      </c>
      <c r="B5" s="4" t="s">
        <v>11</v>
      </c>
      <c r="C5" s="4" t="s">
        <v>8</v>
      </c>
      <c r="D5" s="4" t="s">
        <v>13</v>
      </c>
      <c r="E5" s="4">
        <v>64</v>
      </c>
      <c r="F5" s="4">
        <v>82</v>
      </c>
      <c r="G5" s="5" t="str">
        <f t="shared" ref="G5:G16" si="1">IF(E5&gt;=90,"A+",IF(E5&gt;=80,"A",IF(E5&gt;=70,"B",IF(E5&gt;=60,"C",IF(E5&gt;=40,"D","F")))))</f>
        <v>C</v>
      </c>
      <c r="H5" s="32" t="str">
        <f t="shared" si="0"/>
        <v>Pass</v>
      </c>
      <c r="I5" s="4"/>
    </row>
    <row r="6" spans="1:11" ht="28.8">
      <c r="A6" s="30" t="s">
        <v>17</v>
      </c>
      <c r="B6" s="4" t="s">
        <v>7</v>
      </c>
      <c r="C6" s="4" t="s">
        <v>12</v>
      </c>
      <c r="D6" s="4" t="s">
        <v>13</v>
      </c>
      <c r="E6" s="4">
        <v>96</v>
      </c>
      <c r="F6" s="4">
        <v>98</v>
      </c>
      <c r="G6" s="5" t="str">
        <f>IF(E6&gt;=90,"A+",IF(E6&gt;=80,"A",IF(E6&gt;=70,"B",IF(E6&gt;=60,"C",IF(E6&gt;=40,"D","F")))))</f>
        <v>A+</v>
      </c>
      <c r="H6" s="32" t="str">
        <f t="shared" si="0"/>
        <v>Pass</v>
      </c>
      <c r="I6" s="4"/>
    </row>
    <row r="7" spans="1:11" ht="28.8">
      <c r="A7" s="30" t="s">
        <v>18</v>
      </c>
      <c r="B7" s="4" t="s">
        <v>11</v>
      </c>
      <c r="C7" s="4" t="s">
        <v>15</v>
      </c>
      <c r="D7" s="4" t="s">
        <v>9</v>
      </c>
      <c r="E7" s="4">
        <v>71</v>
      </c>
      <c r="F7" s="4">
        <v>85</v>
      </c>
      <c r="G7" s="5" t="str">
        <f t="shared" si="1"/>
        <v>B</v>
      </c>
      <c r="H7" s="32" t="str">
        <f t="shared" si="0"/>
        <v>Pass</v>
      </c>
      <c r="I7" s="4"/>
    </row>
    <row r="8" spans="1:11" ht="28.8">
      <c r="A8" s="30" t="s">
        <v>19</v>
      </c>
      <c r="B8" s="4" t="s">
        <v>7</v>
      </c>
      <c r="C8" s="4" t="s">
        <v>8</v>
      </c>
      <c r="D8" s="4" t="s">
        <v>13</v>
      </c>
      <c r="E8" s="4">
        <v>88</v>
      </c>
      <c r="F8" s="4">
        <v>92</v>
      </c>
      <c r="G8" s="5" t="str">
        <f t="shared" si="1"/>
        <v>A</v>
      </c>
      <c r="H8" s="32" t="str">
        <f t="shared" si="0"/>
        <v>Pass</v>
      </c>
      <c r="I8" s="4"/>
    </row>
    <row r="9" spans="1:11" ht="28.8">
      <c r="A9" s="30" t="s">
        <v>20</v>
      </c>
      <c r="B9" s="4" t="s">
        <v>11</v>
      </c>
      <c r="C9" s="4" t="s">
        <v>21</v>
      </c>
      <c r="D9" s="4" t="s">
        <v>9</v>
      </c>
      <c r="E9" s="4">
        <v>55</v>
      </c>
      <c r="F9" s="4">
        <v>78</v>
      </c>
      <c r="G9" s="5" t="str">
        <f t="shared" si="1"/>
        <v>D</v>
      </c>
      <c r="H9" s="32" t="str">
        <f t="shared" si="0"/>
        <v>Pass</v>
      </c>
      <c r="I9" s="4"/>
    </row>
    <row r="10" spans="1:11" ht="28.8">
      <c r="A10" s="30" t="s">
        <v>22</v>
      </c>
      <c r="B10" s="4" t="s">
        <v>7</v>
      </c>
      <c r="C10" s="4" t="s">
        <v>15</v>
      </c>
      <c r="D10" s="4" t="s">
        <v>13</v>
      </c>
      <c r="E10" s="4">
        <v>93</v>
      </c>
      <c r="F10" s="4">
        <v>97</v>
      </c>
      <c r="G10" s="5" t="str">
        <f t="shared" si="1"/>
        <v>A+</v>
      </c>
      <c r="H10" s="32" t="str">
        <f t="shared" si="0"/>
        <v>Pass</v>
      </c>
      <c r="I10" s="4"/>
    </row>
    <row r="11" spans="1:11" ht="28.8">
      <c r="A11" s="30" t="s">
        <v>23</v>
      </c>
      <c r="B11" s="4" t="s">
        <v>11</v>
      </c>
      <c r="C11" s="4" t="s">
        <v>8</v>
      </c>
      <c r="D11" s="4" t="s">
        <v>9</v>
      </c>
      <c r="E11" s="4">
        <v>82</v>
      </c>
      <c r="F11" s="4">
        <v>90</v>
      </c>
      <c r="G11" s="5" t="str">
        <f t="shared" si="1"/>
        <v>A</v>
      </c>
      <c r="H11" s="32" t="str">
        <f t="shared" si="0"/>
        <v>Pass</v>
      </c>
      <c r="I11" s="4"/>
    </row>
    <row r="12" spans="1:11" ht="28.8">
      <c r="A12" s="30" t="s">
        <v>24</v>
      </c>
      <c r="B12" s="4" t="s">
        <v>7</v>
      </c>
      <c r="C12" s="4" t="s">
        <v>12</v>
      </c>
      <c r="D12" s="4" t="s">
        <v>9</v>
      </c>
      <c r="E12" s="4">
        <v>76</v>
      </c>
      <c r="F12" s="4">
        <v>89</v>
      </c>
      <c r="G12" s="5" t="str">
        <f t="shared" si="1"/>
        <v>B</v>
      </c>
      <c r="H12" s="32" t="str">
        <f t="shared" si="0"/>
        <v>Pass</v>
      </c>
      <c r="I12" s="4"/>
    </row>
    <row r="13" spans="1:11" ht="28.8">
      <c r="A13" s="30" t="s">
        <v>25</v>
      </c>
      <c r="B13" s="4" t="s">
        <v>11</v>
      </c>
      <c r="C13" s="4" t="s">
        <v>15</v>
      </c>
      <c r="D13" s="4" t="s">
        <v>13</v>
      </c>
      <c r="E13" s="4">
        <v>38</v>
      </c>
      <c r="F13" s="4">
        <v>72</v>
      </c>
      <c r="G13" s="5" t="str">
        <f t="shared" si="1"/>
        <v>F</v>
      </c>
      <c r="H13" s="32" t="str">
        <f t="shared" si="0"/>
        <v>Fail</v>
      </c>
      <c r="I13" s="4"/>
    </row>
    <row r="14" spans="1:11" ht="28.8">
      <c r="A14" s="30" t="s">
        <v>26</v>
      </c>
      <c r="B14" s="4" t="s">
        <v>7</v>
      </c>
      <c r="C14" s="4" t="s">
        <v>8</v>
      </c>
      <c r="D14" s="4" t="s">
        <v>13</v>
      </c>
      <c r="E14" s="4">
        <v>90</v>
      </c>
      <c r="F14" s="4">
        <v>95</v>
      </c>
      <c r="G14" s="5" t="str">
        <f t="shared" si="1"/>
        <v>A+</v>
      </c>
      <c r="H14" s="32" t="str">
        <f t="shared" si="0"/>
        <v>Pass</v>
      </c>
      <c r="I14" s="4"/>
    </row>
    <row r="15" spans="1:11" ht="28.8">
      <c r="A15" s="30" t="s">
        <v>27</v>
      </c>
      <c r="B15" s="4" t="s">
        <v>11</v>
      </c>
      <c r="C15" s="4" t="s">
        <v>21</v>
      </c>
      <c r="D15" s="4" t="s">
        <v>9</v>
      </c>
      <c r="E15" s="4">
        <v>68</v>
      </c>
      <c r="F15" s="4">
        <v>84</v>
      </c>
      <c r="G15" s="5" t="str">
        <f t="shared" si="1"/>
        <v>C</v>
      </c>
      <c r="H15" s="32" t="str">
        <f t="shared" si="0"/>
        <v>Pass</v>
      </c>
      <c r="I15" s="4"/>
    </row>
    <row r="16" spans="1:11" ht="28.8">
      <c r="A16" s="33" t="s">
        <v>28</v>
      </c>
      <c r="B16" s="34" t="s">
        <v>7</v>
      </c>
      <c r="C16" s="34" t="s">
        <v>21</v>
      </c>
      <c r="D16" s="34" t="s">
        <v>9</v>
      </c>
      <c r="E16" s="34">
        <v>59</v>
      </c>
      <c r="F16" s="34">
        <v>80</v>
      </c>
      <c r="G16" s="34" t="str">
        <f t="shared" si="1"/>
        <v>D</v>
      </c>
      <c r="H16" s="35" t="str">
        <f t="shared" si="0"/>
        <v>Pass</v>
      </c>
      <c r="I16" s="34"/>
      <c r="K16" t="s">
        <v>32</v>
      </c>
    </row>
  </sheetData>
  <conditionalFormatting sqref="E2:E16">
    <cfRule type="cellIs" dxfId="6" priority="6" operator="lessThan">
      <formula>40</formula>
    </cfRule>
    <cfRule type="cellIs" dxfId="5" priority="7" operator="greaterThan">
      <formula>90</formula>
    </cfRule>
  </conditionalFormatting>
  <conditionalFormatting sqref="F2:F16">
    <cfRule type="cellIs" dxfId="4" priority="1" operator="lessThan">
      <formula>75</formula>
    </cfRule>
  </conditionalFormatting>
  <conditionalFormatting sqref="G1:G16">
    <cfRule type="cellIs" dxfId="3" priority="3" operator="equal">
      <formula>"F"</formula>
    </cfRule>
    <cfRule type="cellIs" dxfId="2" priority="4" operator="equal">
      <formula>"A+"</formula>
    </cfRule>
  </conditionalFormatting>
  <conditionalFormatting sqref="J2 H2:H16 I3:I16">
    <cfRule type="cellIs" dxfId="1" priority="2" operator="equal">
      <formula>"FAIL"</formula>
    </cfRule>
  </conditionalFormatting>
  <conditionalFormatting sqref="H13:I13">
    <cfRule type="cellIs" dxfId="0" priority="10" operator="lessThan">
      <formula>40</formula>
    </cfRule>
  </conditionalFormatting>
  <dataValidations xWindow="761" yWindow="567" count="5">
    <dataValidation type="list" allowBlank="1" showInputMessage="1" showErrorMessage="1" sqref="B2:B16" xr:uid="{5A8F46D9-61EE-4176-9D75-CAC17F17C0BD}">
      <formula1>"Mr,Ms"</formula1>
    </dataValidation>
    <dataValidation type="list" allowBlank="1" showInputMessage="1" showErrorMessage="1" sqref="C5:C16" xr:uid="{7324FDEE-9CA0-4067-B626-4ED46050322B}">
      <formula1>"CSE,ECE,EEE,AI"</formula1>
    </dataValidation>
    <dataValidation type="list" allowBlank="1" showInputMessage="1" showErrorMessage="1" sqref="D5:D16" xr:uid="{F9D2696E-37A4-4BFC-88D3-C22E613AD5B1}">
      <formula1>"Word Processing Workshop,Excel Analytics Workshop"</formula1>
    </dataValidation>
    <dataValidation type="whole" allowBlank="1" showInputMessage="1" showErrorMessage="1" errorTitle="Invalid marks" error="Marks must be a whole number from 0 to 100" promptTitle="Assessment Marks" prompt="Enter marks out of 100" sqref="E1:E16" xr:uid="{51DAF588-82C3-42F8-B1B3-D7EA168DF083}">
      <formula1>0</formula1>
      <formula2>100</formula2>
    </dataValidation>
    <dataValidation type="whole" allowBlank="1" showInputMessage="1" showErrorMessage="1" error="Attendance must be between 0 and 100" prompt="Enter attendance percentage" sqref="F1:F16" xr:uid="{6E967576-FE1E-4C34-BB04-7A4DA9104F65}">
      <formula1>0</formula1>
      <formula2>100</formula2>
    </dataValidation>
  </dataValidations>
  <hyperlinks>
    <hyperlink ref="I2" r:id="rId1" xr:uid="{441D7B09-E825-4738-8B1A-2B83844A6978}"/>
  </hyperlinks>
  <pageMargins left="0.7" right="0.7" top="0.75" bottom="0.75" header="0.3" footer="0.3"/>
  <pageSetup paperSize="9" scale="78" orientation="landscape" r:id="rId2"/>
  <headerFooter>
    <oddHeader>&amp;C&amp;"-,Bold"&amp;14Automated Certificate Generator</oddHeader>
    <oddFooter>&amp;C&amp;P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ABB7-570A-4474-B958-F27BACED3FA1}">
  <sheetPr>
    <pageSetUpPr fitToPage="1"/>
  </sheetPr>
  <dimension ref="A1:H20"/>
  <sheetViews>
    <sheetView tabSelected="1" showWhiteSpace="0" view="pageLayout" zoomScaleNormal="100" workbookViewId="0">
      <selection activeCell="G20" sqref="G20"/>
    </sheetView>
  </sheetViews>
  <sheetFormatPr defaultRowHeight="14.4"/>
  <cols>
    <col min="1" max="1" width="15.77734375" customWidth="1"/>
    <col min="2" max="2" width="25.44140625" bestFit="1" customWidth="1"/>
    <col min="3" max="3" width="17.33203125" customWidth="1"/>
    <col min="5" max="5" width="13.21875" bestFit="1" customWidth="1"/>
    <col min="6" max="6" width="21.5546875" bestFit="1" customWidth="1"/>
    <col min="7" max="7" width="14.77734375" customWidth="1"/>
    <col min="8" max="8" width="12.33203125" customWidth="1"/>
  </cols>
  <sheetData>
    <row r="1" spans="1:8" ht="21">
      <c r="A1" s="7" t="s">
        <v>33</v>
      </c>
    </row>
    <row r="3" spans="1:8">
      <c r="A3" s="9" t="s">
        <v>34</v>
      </c>
      <c r="B3" s="10" t="s">
        <v>42</v>
      </c>
      <c r="C3" s="1"/>
      <c r="E3" s="18" t="s">
        <v>2</v>
      </c>
      <c r="F3" s="19" t="s">
        <v>43</v>
      </c>
      <c r="G3" s="19" t="s">
        <v>52</v>
      </c>
      <c r="H3" s="20" t="s">
        <v>53</v>
      </c>
    </row>
    <row r="4" spans="1:8">
      <c r="A4" s="11" t="s">
        <v>35</v>
      </c>
      <c r="B4" s="12">
        <f>COUNTA('[1]Student Data'!A2:A16)</f>
        <v>15</v>
      </c>
      <c r="C4" s="8"/>
      <c r="E4" s="21" t="s">
        <v>8</v>
      </c>
      <c r="F4" s="16">
        <f>COUNTIF('Student Data'!$C$2:$C$16,E4)</f>
        <v>5</v>
      </c>
      <c r="G4" s="16">
        <f>AVERAGEIF('Student Data'!$C$2:$C$16,E4,'Student Data'!$E$2:$E$16)</f>
        <v>83.2</v>
      </c>
      <c r="H4" s="13">
        <f>SUMIF('Student Data'!$C$2:$C$16,E4,'Student Data'!$E$2:$E$16)</f>
        <v>416</v>
      </c>
    </row>
    <row r="5" spans="1:8">
      <c r="A5" s="11" t="s">
        <v>36</v>
      </c>
      <c r="B5" s="13">
        <f>SUM('Student Data'!E2:E16)</f>
        <v>1135</v>
      </c>
      <c r="C5" s="8"/>
      <c r="E5" s="21" t="s">
        <v>12</v>
      </c>
      <c r="F5" s="16">
        <f>COUNTIF('Student Data'!$C$2:$C$16,E5)</f>
        <v>3</v>
      </c>
      <c r="G5" s="16">
        <f>AVERAGEIF('Student Data'!$C$2:$C$16,E5,'Student Data'!$E$2:$E$16)</f>
        <v>83.333333333333329</v>
      </c>
      <c r="H5" s="13">
        <f>SUMIF('Student Data'!$C$2:$C$16,E5,'Student Data'!$E$2:$E$16)</f>
        <v>250</v>
      </c>
    </row>
    <row r="6" spans="1:8">
      <c r="A6" s="11" t="s">
        <v>37</v>
      </c>
      <c r="B6" s="13">
        <f>AVERAGE('Student Data'!E2:E16)</f>
        <v>75.666666666666671</v>
      </c>
      <c r="C6" s="8"/>
      <c r="E6" s="21" t="s">
        <v>15</v>
      </c>
      <c r="F6" s="16">
        <f>COUNTIF('Student Data'!$C$2:$C$16,E6)</f>
        <v>4</v>
      </c>
      <c r="G6" s="16">
        <f>AVERAGEIF('Student Data'!$C$2:$C$16,E6,'Student Data'!$E$2:$E$16)</f>
        <v>71.75</v>
      </c>
      <c r="H6" s="13">
        <f>SUMIF('Student Data'!$C$2:$C$16,E6,'Student Data'!$E$2:$E$16)</f>
        <v>287</v>
      </c>
    </row>
    <row r="7" spans="1:8">
      <c r="A7" s="11" t="s">
        <v>38</v>
      </c>
      <c r="B7" s="13">
        <f>MAX('Student Data'!E2:E16)</f>
        <v>96</v>
      </c>
      <c r="C7" s="8"/>
      <c r="E7" s="17" t="s">
        <v>21</v>
      </c>
      <c r="F7" s="22">
        <f>COUNTIF('Student Data'!$C$2:$C$16,E7)</f>
        <v>3</v>
      </c>
      <c r="G7" s="22">
        <f>AVERAGEIF('Student Data'!$C$2:$C$16,E7,'Student Data'!$E$2:$E$16)</f>
        <v>60.666666666666664</v>
      </c>
      <c r="H7" s="15">
        <f>SUMIF('Student Data'!$C$2:$C$16,E7,'Student Data'!$E$2:$E$16)</f>
        <v>182</v>
      </c>
    </row>
    <row r="8" spans="1:8">
      <c r="A8" s="11" t="s">
        <v>39</v>
      </c>
      <c r="B8" s="13">
        <f>MIN('Student Data'!E2:E16)</f>
        <v>38</v>
      </c>
      <c r="C8" s="8"/>
    </row>
    <row r="9" spans="1:8">
      <c r="A9" s="11" t="s">
        <v>40</v>
      </c>
      <c r="B9" s="13">
        <f>COUNTIF('Student Data'!H2:H16,"Pass")</f>
        <v>14</v>
      </c>
      <c r="C9" s="8"/>
      <c r="E9" s="6" t="s">
        <v>54</v>
      </c>
    </row>
    <row r="10" spans="1:8" ht="28.8">
      <c r="A10" s="14" t="s">
        <v>41</v>
      </c>
      <c r="B10" s="15">
        <f>COUNTIFS('Student Data'!E2:E16,"&gt;=80",'Student Data'!F2:F16,"&gt;=90")</f>
        <v>7</v>
      </c>
      <c r="C10" s="8"/>
      <c r="E10" s="38" t="s">
        <v>59</v>
      </c>
      <c r="F10" s="23" t="s">
        <v>17</v>
      </c>
    </row>
    <row r="11" spans="1:8">
      <c r="E11" s="38" t="s">
        <v>2</v>
      </c>
      <c r="F11" s="23" t="str">
        <f>VLOOKUP($F$10,'Student Data'!$A$2:$H$16,3,FALSE)</f>
        <v>ECE</v>
      </c>
    </row>
    <row r="12" spans="1:8">
      <c r="E12" s="38" t="s">
        <v>3</v>
      </c>
      <c r="F12" s="23" t="str">
        <f>VLOOKUP($F$10,'Student Data'!$A$2:$H$16,4,FALSE)</f>
        <v>Excel Analytics Workshop</v>
      </c>
    </row>
    <row r="13" spans="1:8">
      <c r="A13" s="18" t="s">
        <v>30</v>
      </c>
      <c r="B13" s="19" t="s">
        <v>43</v>
      </c>
      <c r="C13" s="20" t="s">
        <v>44</v>
      </c>
      <c r="E13" s="38" t="s">
        <v>4</v>
      </c>
      <c r="F13" s="23">
        <f>VLOOKUP($F$10,'Student Data'!$A$2:$H$16,5,FALSE)</f>
        <v>96</v>
      </c>
    </row>
    <row r="14" spans="1:8">
      <c r="A14" s="21" t="s">
        <v>50</v>
      </c>
      <c r="B14" s="16">
        <f>COUNTIF('Student Data'!$G$2:$G$16,A14)</f>
        <v>4</v>
      </c>
      <c r="C14" s="13">
        <f t="shared" ref="C14:C19" si="0">B14/$B$20</f>
        <v>0.26666666666666666</v>
      </c>
      <c r="E14" s="38" t="s">
        <v>30</v>
      </c>
      <c r="F14" s="23" t="str">
        <f>VLOOKUP($F$10,'Student Data'!$A$2:$H$16,7,FALSE)</f>
        <v>A+</v>
      </c>
    </row>
    <row r="15" spans="1:8">
      <c r="A15" s="21" t="s">
        <v>45</v>
      </c>
      <c r="B15" s="16">
        <f>COUNTIF('Student Data'!$G$2:$G$16,A15)</f>
        <v>3</v>
      </c>
      <c r="C15" s="13">
        <f t="shared" si="0"/>
        <v>0.2</v>
      </c>
    </row>
    <row r="16" spans="1:8">
      <c r="A16" s="21" t="s">
        <v>46</v>
      </c>
      <c r="B16" s="16">
        <f>COUNTIF('Student Data'!$G$2:$G$16,A16)</f>
        <v>3</v>
      </c>
      <c r="C16" s="13">
        <f t="shared" si="0"/>
        <v>0.2</v>
      </c>
    </row>
    <row r="17" spans="1:3">
      <c r="A17" s="21" t="s">
        <v>47</v>
      </c>
      <c r="B17" s="16">
        <f>COUNTIF('Student Data'!$G$2:$G$16,A17)</f>
        <v>2</v>
      </c>
      <c r="C17" s="13">
        <f t="shared" si="0"/>
        <v>0.13333333333333333</v>
      </c>
    </row>
    <row r="18" spans="1:3">
      <c r="A18" s="21" t="s">
        <v>48</v>
      </c>
      <c r="B18" s="16">
        <f>COUNTIF('Student Data'!$G$2:$G$16,A18)</f>
        <v>2</v>
      </c>
      <c r="C18" s="13">
        <f t="shared" si="0"/>
        <v>0.13333333333333333</v>
      </c>
    </row>
    <row r="19" spans="1:3">
      <c r="A19" s="21" t="s">
        <v>49</v>
      </c>
      <c r="B19" s="16">
        <f>COUNTIF('Student Data'!$G$2:$G$16,A19)</f>
        <v>1</v>
      </c>
      <c r="C19" s="13">
        <f t="shared" si="0"/>
        <v>6.6666666666666666E-2</v>
      </c>
    </row>
    <row r="20" spans="1:3">
      <c r="A20" s="24" t="s">
        <v>51</v>
      </c>
      <c r="B20" s="22">
        <f>SUM(B14:B19)</f>
        <v>15</v>
      </c>
      <c r="C20" s="15">
        <f>SUM(C14:C19)</f>
        <v>1</v>
      </c>
    </row>
  </sheetData>
  <phoneticPr fontId="5" type="noConversion"/>
  <pageMargins left="0.7" right="0.7" top="0.75" bottom="0.75" header="0.3" footer="0.3"/>
  <pageSetup paperSize="9" scale="62" orientation="landscape" r:id="rId1"/>
  <headerFooter>
    <oddHeader>&amp;C&amp;"-,Bold"&amp;12Automated Certificate Generator - Analysis</oddHeader>
    <oddFooter>&amp;C&amp;P</oddFooter>
  </headerFooter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9E5A-198D-4495-85C1-22CF69369048}">
  <dimension ref="A3:F10"/>
  <sheetViews>
    <sheetView view="pageLayout" topLeftCell="A5" zoomScaleNormal="100" workbookViewId="0">
      <selection activeCell="A22" sqref="A22"/>
    </sheetView>
  </sheetViews>
  <sheetFormatPr defaultRowHeight="14.4"/>
  <cols>
    <col min="1" max="1" width="12.44140625" bestFit="1" customWidth="1"/>
    <col min="2" max="2" width="20.21875" bestFit="1" customWidth="1"/>
    <col min="5" max="5" width="14.109375" customWidth="1"/>
    <col min="6" max="6" width="25.5546875" bestFit="1" customWidth="1"/>
  </cols>
  <sheetData>
    <row r="3" spans="1:6">
      <c r="A3" s="25" t="s">
        <v>30</v>
      </c>
      <c r="B3" s="16" t="s">
        <v>56</v>
      </c>
      <c r="E3" s="25" t="s">
        <v>2</v>
      </c>
      <c r="F3" s="16" t="s">
        <v>52</v>
      </c>
    </row>
    <row r="4" spans="1:6">
      <c r="A4" s="23" t="s">
        <v>45</v>
      </c>
      <c r="B4" s="16">
        <v>3</v>
      </c>
      <c r="E4" s="23" t="s">
        <v>21</v>
      </c>
      <c r="F4" s="26">
        <v>60.666666666666664</v>
      </c>
    </row>
    <row r="5" spans="1:6">
      <c r="A5" s="23" t="s">
        <v>50</v>
      </c>
      <c r="B5" s="16">
        <v>4</v>
      </c>
      <c r="E5" s="23" t="s">
        <v>8</v>
      </c>
      <c r="F5" s="26">
        <v>83.2</v>
      </c>
    </row>
    <row r="6" spans="1:6">
      <c r="A6" s="23" t="s">
        <v>46</v>
      </c>
      <c r="B6" s="16">
        <v>3</v>
      </c>
      <c r="E6" s="23" t="s">
        <v>12</v>
      </c>
      <c r="F6" s="26">
        <v>83.333333333333329</v>
      </c>
    </row>
    <row r="7" spans="1:6">
      <c r="A7" s="23" t="s">
        <v>47</v>
      </c>
      <c r="B7" s="16">
        <v>2</v>
      </c>
      <c r="E7" s="23" t="s">
        <v>15</v>
      </c>
      <c r="F7" s="26">
        <v>71.75</v>
      </c>
    </row>
    <row r="8" spans="1:6">
      <c r="A8" s="23" t="s">
        <v>48</v>
      </c>
      <c r="B8" s="16">
        <v>2</v>
      </c>
      <c r="E8" s="23" t="s">
        <v>55</v>
      </c>
      <c r="F8" s="26">
        <v>75.666666666666671</v>
      </c>
    </row>
    <row r="9" spans="1:6">
      <c r="A9" s="23" t="s">
        <v>49</v>
      </c>
      <c r="B9" s="16">
        <v>1</v>
      </c>
    </row>
    <row r="10" spans="1:6">
      <c r="A10" s="23" t="s">
        <v>55</v>
      </c>
      <c r="B10" s="16">
        <v>15</v>
      </c>
    </row>
  </sheetData>
  <pageMargins left="0.7" right="0.7" top="0.75" bottom="0.75" header="0.3" footer="0.3"/>
  <pageSetup paperSize="9" orientation="landscape" r:id="rId3"/>
  <headerFooter>
    <oddHeader>&amp;C&amp;"-,Bold"&amp;12Automated Certificate Generator</oddHeader>
    <oddFooter>&amp;C&amp;P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Student Data</vt:lpstr>
      <vt:lpstr>Analysis </vt:lpstr>
      <vt:lpstr>Pivot</vt:lpstr>
      <vt:lpstr>'Analysis '!Print_Area</vt:lpstr>
      <vt:lpstr>Pivot!Print_Area</vt:lpstr>
      <vt:lpstr>'Student Data'!Print_Area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 Benoy</dc:creator>
  <cp:lastModifiedBy>Agnes Benoy</cp:lastModifiedBy>
  <cp:lastPrinted>2026-10-21T14:19:07Z</cp:lastPrinted>
  <dcterms:created xsi:type="dcterms:W3CDTF">2026-10-19T10:09:08Z</dcterms:created>
  <dcterms:modified xsi:type="dcterms:W3CDTF">2026-10-21T17:16:31Z</dcterms:modified>
</cp:coreProperties>
</file>